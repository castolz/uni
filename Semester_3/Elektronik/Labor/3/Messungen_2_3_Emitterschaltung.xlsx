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.3 Messung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<sst xmlns="http://schemas.openxmlformats.org/spreadsheetml/2006/main" count="93" uniqueCount="69">
  <si>
    <t xml:space="preserve">Messprotokoll 2.3 – Emitterschaltung mit Gegenkopplungswiderstand</t>
  </si>
  <si>
    <t xml:space="preserve">Laborversuch 3 Transistorverstärker</t>
  </si>
  <si>
    <t xml:space="preserve">Datum:</t>
  </si>
  <si>
    <t xml:space="preserve">Name:</t>
  </si>
  <si>
    <t xml:space="preserve">Schaltung nach Abb. 4; C1 = 10 µF, C2 = 10 µF, RE = 76,7 Ω, RC = 1 kΩ, VPLUS = 5 V</t>
  </si>
  <si>
    <t xml:space="preserve">2.3 a) Arbeitspunkt</t>
  </si>
  <si>
    <t xml:space="preserve">Größe</t>
  </si>
  <si>
    <t xml:space="preserve">Messwert</t>
  </si>
  <si>
    <t xml:space="preserve">Einheit</t>
  </si>
  <si>
    <t xml:space="preserve">Hinweis</t>
  </si>
  <si>
    <t xml:space="preserve">VC0</t>
  </si>
  <si>
    <t xml:space="preserve">V</t>
  </si>
  <si>
    <t xml:space="preserve">Poti so einstellen, dass VC0 aus Simulation erreicht wird</t>
  </si>
  <si>
    <t xml:space="preserve">VB0</t>
  </si>
  <si>
    <t xml:space="preserve">Basisspannung messen</t>
  </si>
  <si>
    <t xml:space="preserve">IC0</t>
  </si>
  <si>
    <t xml:space="preserve">mA</t>
  </si>
  <si>
    <t xml:space="preserve">= (VPLUS - VC0) / RC</t>
  </si>
  <si>
    <t xml:space="preserve">2.3 b) Frequenzgang ohne CE</t>
  </si>
  <si>
    <t xml:space="preserve">Vin,pp</t>
  </si>
  <si>
    <t xml:space="preserve">mV</t>
  </si>
  <si>
    <t xml:space="preserve">oder Vin,rms</t>
  </si>
  <si>
    <t xml:space="preserve">Ziel: z.B. Vin,pp = 100 mV</t>
  </si>
  <si>
    <t xml:space="preserve">AV bei 1 kHz</t>
  </si>
  <si>
    <t xml:space="preserve">Betrag</t>
  </si>
  <si>
    <t xml:space="preserve">AV bei 1 kHz [dB]</t>
  </si>
  <si>
    <t xml:space="preserve">dB</t>
  </si>
  <si>
    <t xml:space="preserve">Frequenz f [Hz]</t>
  </si>
  <si>
    <t xml:space="preserve">Vin [mV]</t>
  </si>
  <si>
    <t xml:space="preserve">Vout [mV]</t>
  </si>
  <si>
    <t xml:space="preserve">AV = Vout/Vin</t>
  </si>
  <si>
    <t xml:space="preserve">|AV|</t>
  </si>
  <si>
    <t xml:space="preserve">AV [dB]</t>
  </si>
  <si>
    <t xml:space="preserve">Bemerkung</t>
  </si>
  <si>
    <t xml:space="preserve">Messart</t>
  </si>
  <si>
    <t xml:space="preserve">AV_max Betrag</t>
  </si>
  <si>
    <t xml:space="preserve">Messfehler Auflösung</t>
  </si>
  <si>
    <t xml:space="preserve">rms spannung</t>
  </si>
  <si>
    <t xml:space="preserve">-3-dB-Betrag</t>
  </si>
  <si>
    <t xml:space="preserve">fgu</t>
  </si>
  <si>
    <t xml:space="preserve">Hz</t>
  </si>
  <si>
    <t xml:space="preserve">per Cursor eintragen</t>
  </si>
  <si>
    <t xml:space="preserve">fgo</t>
  </si>
  <si>
    <t xml:space="preserve">2.3 c) Messung mit CE = 100 µF</t>
  </si>
  <si>
    <t xml:space="preserve">Frequenz [Hz]</t>
  </si>
  <si>
    <t xml:space="preserve">Begründung / Beobachtung</t>
  </si>
  <si>
    <t xml:space="preserve">Der maximale Aussteuerbereich ist von der Spannnungsversorgung immer gegeben</t>
  </si>
  <si>
    <t xml:space="preserve">2.3 d) Aussteuerbereich ohne CE bei f = 1 kHz</t>
  </si>
  <si>
    <t xml:space="preserve">Auswertung Aussteuerbereich</t>
  </si>
  <si>
    <t xml:space="preserve">Vin,rms [mV]</t>
  </si>
  <si>
    <t xml:space="preserve">Vout,rms [mV]</t>
  </si>
  <si>
    <t xml:space="preserve">Verzerrung? ja/nein</t>
  </si>
  <si>
    <t xml:space="preserve">Vout,max,rms</t>
  </si>
  <si>
    <t xml:space="preserve">letzter unverzerrter Wert</t>
  </si>
  <si>
    <t xml:space="preserve">Vin,max,rms</t>
  </si>
  <si>
    <t xml:space="preserve">zugehöriger Eingangswert</t>
  </si>
  <si>
    <t xml:space="preserve">Werte aus Tabelle mit Oszilloskop-Verzerrung bestimmen</t>
  </si>
  <si>
    <t xml:space="preserve">Aussteuerung</t>
  </si>
  <si>
    <t xml:space="preserve">2.3 e) Lastabhängigkeit bei f = 1 kHz</t>
  </si>
  <si>
    <t xml:space="preserve">RL [Ω]</t>
  </si>
  <si>
    <t xml:space="preserve">AV</t>
  </si>
  <si>
    <t xml:space="preserve">Beobachtung</t>
  </si>
  <si>
    <t xml:space="preserve">Maximle Auflösung bei v_out</t>
  </si>
  <si>
    <t xml:space="preserve">unendlich</t>
  </si>
  <si>
    <t xml:space="preserve">Quelle / Aufgabenbezug</t>
  </si>
  <si>
    <t xml:space="preserve">Elektronik Labor – 3 – Transistorverstärker, Abschnitt 2.3 Messaufgaben</t>
  </si>
  <si>
    <t xml:space="preserve">Gelbe Felder ausfüllen; grüne Felder berechnen automatisch.</t>
  </si>
  <si>
    <t xml:space="preserve">Einheiten</t>
  </si>
  <si>
    <t xml:space="preserve">Für Vin und Vout jeweils gleiche Einheit verwenden, sonst AV falsch.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</si>
</sst>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5B9BD5"/>
        <bgColor rgb="FF969696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F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ill>
        <patternFill patternType="solid">
          <fgColor rgb="FF5B9B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D9EA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ussteuerbereich" displayName="Aussteuerbereich" ref="A50:H61" headerRowCount="1" totalsRowCount="0" totalsRowShown="0">
  <tableColumns count="8">
    <tableColumn id="1" name="Vin,rms [mV]"/>
    <tableColumn id="2" name="Vout,rms [mV]"/>
    <tableColumn id="3" name="AV = Vout/Vin"/>
    <tableColumn id="4" name="|AV|"/>
    <tableColumn id="5" name="AV [dB]"/>
    <tableColumn id="6" name="Verzerrung? ja/nein"/>
    <tableColumn id="7" name="Bemerkung"/>
    <tableColumn id="8" name=""/>
  </tableColumns>
</table>
</file>

<file path=xl/tables/table2.xml><?xml version="1.0" encoding="utf-8"?>
<table xmlns="http://schemas.openxmlformats.org/spreadsheetml/2006/main" id="2" name="FrequenzgangOhneCE" displayName="FrequenzgangOhneCE" ref="A14:H39" headerRowCount="1" totalsRowCount="0" totalsRowShown="0">
  <tableColumns count="8">
    <tableColumn id="1" name="Frequenz f [Hz]"/>
    <tableColumn id="2" name="Vin [mV]"/>
    <tableColumn id="3" name="Vout [mV]"/>
    <tableColumn id="4" name="AV = Vout/Vin"/>
    <tableColumn id="5" name="|AV|"/>
    <tableColumn id="6" name="AV [dB]"/>
    <tableColumn id="7" name="Bemerkung"/>
    <tableColumn id="8" name="Messart"/>
  </tableColumns>
</table>
</file>

<file path=xl/tables/table3.xml><?xml version="1.0" encoding="utf-8"?>
<table xmlns="http://schemas.openxmlformats.org/spreadsheetml/2006/main" id="3" name="Lastabhaengigkeit" displayName="Lastabhaengigkeit" ref="A65:H69" headerRowCount="1" totalsRowCount="0" totalsRowShown="0">
  <tableColumns count="8">
    <tableColumn id="1" name="RL [Ω]"/>
    <tableColumn id="2" name="Vin [mV]"/>
    <tableColumn id="3" name="Vout [mV]"/>
    <tableColumn id="4" name="AV"/>
    <tableColumn id="5" name="|AV|"/>
    <tableColumn id="6" name="AV [dB]"/>
    <tableColumn id="7" name="Beobachtung"/>
    <tableColumn id="8" name="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5"/>
  <sheetViews>
    <sheetView showFormulas="false" showGridLines="true" showRowColHeaders="true" showZeros="true" rightToLeft="false" tabSelected="true" showOutlineSymbols="true" defaultGridColor="true" view="normal" topLeftCell="A9" colorId="64" zoomScale="90" zoomScaleNormal="90" zoomScalePageLayoutView="100" workbookViewId="0">
      <selection pane="topLeft" activeCell="K52" activeCellId="0" sqref="K52"/>
    </sheetView>
  </sheetViews>
  <sheetFormatPr defaultColWidth="8.54296875" defaultRowHeight="15" customHeight="true" zeroHeight="false" outlineLevelRow="0" outlineLevelCol="0"/>
  <cols>
    <col collapsed="false" customWidth="true" hidden="false" outlineLevel="0" max="6" min="1" style="1" width="16"/>
    <col collapsed="false" customWidth="true" hidden="false" outlineLevel="0" max="7" min="7" style="1" width="30"/>
    <col collapsed="false" customWidth="true" hidden="false" outlineLevel="0" max="8" min="8" style="1" width="18"/>
    <col collapsed="false" customWidth="true" hidden="false" outlineLevel="0" max="12" min="10" style="1" width="16"/>
    <col collapsed="false" customWidth="true" hidden="false" outlineLevel="0" max="13" min="13" style="1" width="28"/>
    <col collapsed="false" customWidth="true" hidden="false" outlineLevel="0" max="14" min="14" style="1" width="16"/>
  </cols>
  <sheetData>
    <row r="1" customFormat="false" ht="17.3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5.05" hidden="false" customHeight="false" outlineLevel="0" collapsed="false">
      <c r="A2" s="3" t="s">
        <v>1</v>
      </c>
      <c r="B2" s="3"/>
      <c r="C2" s="3"/>
      <c r="D2" s="3"/>
      <c r="E2" s="3" t="s">
        <v>2</v>
      </c>
      <c r="F2" s="3"/>
      <c r="G2" s="3" t="s">
        <v>3</v>
      </c>
      <c r="H2" s="3"/>
    </row>
    <row r="3" customFormat="false" ht="57.45" hidden="false" customHeight="false" outlineLevel="0" collapsed="false">
      <c r="A3" s="3" t="s">
        <v>4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23.85" hidden="false" customHeight="false" outlineLevel="0" collapsed="false">
      <c r="A5" s="4" t="s">
        <v>5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8</v>
      </c>
      <c r="D6" s="5" t="s">
        <v>9</v>
      </c>
      <c r="E6" s="3"/>
      <c r="F6" s="3"/>
      <c r="G6" s="3"/>
      <c r="H6" s="3"/>
    </row>
    <row r="7" customFormat="false" ht="46.25" hidden="false" customHeight="false" outlineLevel="0" collapsed="false">
      <c r="A7" s="3" t="s">
        <v>10</v>
      </c>
      <c r="B7" s="6" t="n">
        <v>2.7147</v>
      </c>
      <c r="C7" s="3" t="s">
        <v>11</v>
      </c>
      <c r="D7" s="3" t="s">
        <v>12</v>
      </c>
      <c r="E7" s="3"/>
      <c r="F7" s="3"/>
      <c r="G7" s="3"/>
      <c r="H7" s="3"/>
    </row>
    <row r="8" customFormat="false" ht="23.85" hidden="false" customHeight="false" outlineLevel="0" collapsed="false">
      <c r="A8" s="3" t="s">
        <v>13</v>
      </c>
      <c r="B8" s="6" t="n">
        <v>0.84267</v>
      </c>
      <c r="C8" s="3" t="s">
        <v>11</v>
      </c>
      <c r="D8" s="3" t="s">
        <v>14</v>
      </c>
      <c r="E8" s="3"/>
      <c r="F8" s="3"/>
      <c r="G8" s="3"/>
      <c r="H8" s="3"/>
    </row>
    <row r="9" customFormat="false" ht="23.85" hidden="false" customHeight="false" outlineLevel="0" collapsed="false">
      <c r="A9" s="3" t="s">
        <v>15</v>
      </c>
      <c r="B9" s="7" t="n">
        <f aca="false">IF(B7&lt;&gt;"",(5-B7)/1000*1000,"")</f>
        <v>2.2853</v>
      </c>
      <c r="C9" s="3" t="s">
        <v>16</v>
      </c>
      <c r="D9" s="3" t="s">
        <v>17</v>
      </c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35.05" hidden="false" customHeight="false" outlineLevel="0" collapsed="false">
      <c r="A11" s="4" t="s">
        <v>18</v>
      </c>
      <c r="B11" s="4"/>
      <c r="C11" s="4"/>
      <c r="D11" s="4"/>
      <c r="E11" s="4"/>
      <c r="F11" s="4"/>
      <c r="G11" s="4"/>
      <c r="H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3" t="s">
        <v>19</v>
      </c>
      <c r="B12" s="6"/>
      <c r="C12" s="6" t="s">
        <v>20</v>
      </c>
      <c r="D12" s="6" t="s">
        <v>21</v>
      </c>
      <c r="E12" s="6" t="n">
        <v>35</v>
      </c>
      <c r="F12" s="3" t="s">
        <v>20</v>
      </c>
      <c r="G12" s="3" t="s">
        <v>22</v>
      </c>
      <c r="H12" s="3"/>
      <c r="J12" s="3" t="s">
        <v>23</v>
      </c>
      <c r="K12" s="7" t="n">
        <f aca="false">IFERROR(INDEX(D15:D39,MATCH(1000,A15:A39,0)),"")</f>
        <v>11.0799322170204</v>
      </c>
      <c r="L12" s="3"/>
      <c r="M12" s="3" t="s">
        <v>24</v>
      </c>
      <c r="N12" s="3" t="n">
        <f aca="false">IFERROR(ABS(K12),"")</f>
        <v>11.0799322170204</v>
      </c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J13" s="3" t="s">
        <v>25</v>
      </c>
      <c r="K13" s="7" t="n">
        <f aca="false">IFERROR(20*LOG10(ABS(K12)),"")</f>
        <v>20.8907420709095</v>
      </c>
      <c r="L13" s="3" t="s">
        <v>26</v>
      </c>
      <c r="M13" s="3"/>
      <c r="N13" s="3"/>
    </row>
    <row r="14" customFormat="false" ht="15" hidden="false" customHeight="false" outlineLevel="0" collapsed="false">
      <c r="A14" s="5" t="s">
        <v>27</v>
      </c>
      <c r="B14" s="5" t="s">
        <v>28</v>
      </c>
      <c r="C14" s="5" t="s">
        <v>29</v>
      </c>
      <c r="D14" s="5" t="s">
        <v>30</v>
      </c>
      <c r="E14" s="5" t="s">
        <v>31</v>
      </c>
      <c r="F14" s="5" t="s">
        <v>32</v>
      </c>
      <c r="G14" s="5" t="s">
        <v>33</v>
      </c>
      <c r="H14" s="5" t="s">
        <v>34</v>
      </c>
      <c r="J14" s="3" t="s">
        <v>35</v>
      </c>
      <c r="K14" s="7" t="n">
        <f aca="false">IFERROR(MAX(E15:E39),"")</f>
        <v>11.1078631978954</v>
      </c>
      <c r="L14" s="3"/>
      <c r="M14" s="3"/>
      <c r="N14" s="3"/>
    </row>
    <row r="15" customFormat="false" ht="15" hidden="false" customHeight="false" outlineLevel="0" collapsed="false">
      <c r="A15" s="3" t="n">
        <v>1</v>
      </c>
      <c r="B15" s="3" t="n">
        <v>35.24</v>
      </c>
      <c r="C15" s="6"/>
      <c r="D15" s="7" t="n">
        <f aca="false">IFERROR(C15/B15,"")</f>
        <v>0</v>
      </c>
      <c r="E15" s="7" t="n">
        <f aca="false">IFERROR(ABS(D15),"")</f>
        <v>0</v>
      </c>
      <c r="F15" s="7" t="str">
        <f aca="false">IFERROR(20*LOG10(E15),"")</f>
        <v/>
      </c>
      <c r="G15" s="6" t="s">
        <v>36</v>
      </c>
      <c r="H15" s="6" t="s">
        <v>37</v>
      </c>
      <c r="J15" s="3" t="s">
        <v>38</v>
      </c>
      <c r="K15" s="7" t="n">
        <f aca="false">IFERROR(K14/SQRT(2),"")</f>
        <v>7.85444539172429</v>
      </c>
      <c r="L15" s="3"/>
      <c r="M15" s="3"/>
      <c r="N15" s="3"/>
    </row>
    <row r="16" customFormat="false" ht="15" hidden="false" customHeight="false" outlineLevel="0" collapsed="false">
      <c r="A16" s="3" t="n">
        <v>10</v>
      </c>
      <c r="B16" s="3" t="n">
        <v>35.192</v>
      </c>
      <c r="C16" s="6"/>
      <c r="D16" s="7" t="n">
        <f aca="false">IFERROR(C16/B16,"")</f>
        <v>0</v>
      </c>
      <c r="E16" s="7" t="n">
        <f aca="false">IFERROR(ABS(D16),"")</f>
        <v>0</v>
      </c>
      <c r="F16" s="7" t="str">
        <f aca="false">IFERROR(20*LOG10(E16),"")</f>
        <v/>
      </c>
      <c r="G16" s="6" t="s">
        <v>36</v>
      </c>
      <c r="H16" s="6"/>
      <c r="J16" s="3" t="s">
        <v>39</v>
      </c>
      <c r="K16" s="6"/>
      <c r="L16" s="3" t="s">
        <v>40</v>
      </c>
      <c r="M16" s="3" t="s">
        <v>41</v>
      </c>
      <c r="N16" s="3"/>
    </row>
    <row r="17" customFormat="false" ht="15" hidden="false" customHeight="false" outlineLevel="0" collapsed="false">
      <c r="A17" s="3" t="n">
        <v>100</v>
      </c>
      <c r="B17" s="3" t="n">
        <v>35.151</v>
      </c>
      <c r="C17" s="6"/>
      <c r="D17" s="7" t="n">
        <f aca="false">IFERROR(C17/B17,"")</f>
        <v>0</v>
      </c>
      <c r="E17" s="7" t="n">
        <f aca="false">IFERROR(ABS(D17),"")</f>
        <v>0</v>
      </c>
      <c r="F17" s="7" t="str">
        <f aca="false">IFERROR(20*LOG10(E17),"")</f>
        <v/>
      </c>
      <c r="G17" s="6" t="s">
        <v>36</v>
      </c>
      <c r="H17" s="6"/>
      <c r="J17" s="3" t="s">
        <v>42</v>
      </c>
      <c r="K17" s="6"/>
      <c r="L17" s="3" t="s">
        <v>40</v>
      </c>
      <c r="M17" s="3" t="s">
        <v>41</v>
      </c>
      <c r="N17" s="3"/>
    </row>
    <row r="18" customFormat="false" ht="15" hidden="false" customHeight="false" outlineLevel="0" collapsed="false">
      <c r="A18" s="3" t="n">
        <v>1000</v>
      </c>
      <c r="B18" s="3" t="n">
        <v>34.817</v>
      </c>
      <c r="C18" s="6" t="n">
        <v>385.77</v>
      </c>
      <c r="D18" s="7" t="n">
        <f aca="false">IFERROR(C18/B18,"")</f>
        <v>11.0799322170204</v>
      </c>
      <c r="E18" s="7" t="n">
        <f aca="false">IFERROR(ABS(D18),"")</f>
        <v>11.0799322170204</v>
      </c>
      <c r="F18" s="7" t="n">
        <f aca="false">IFERROR(20*LOG10(E18),"")</f>
        <v>20.8907420709095</v>
      </c>
      <c r="G18" s="6" t="s">
        <v>36</v>
      </c>
      <c r="H18" s="6"/>
    </row>
    <row r="19" customFormat="false" ht="15" hidden="false" customHeight="false" outlineLevel="0" collapsed="false">
      <c r="A19" s="3" t="n">
        <v>100000</v>
      </c>
      <c r="B19" s="3" t="n">
        <v>34.21</v>
      </c>
      <c r="C19" s="6" t="n">
        <v>380</v>
      </c>
      <c r="D19" s="7" t="n">
        <f aca="false">IFERROR(C19/B19,"")</f>
        <v>11.1078631978954</v>
      </c>
      <c r="E19" s="7" t="n">
        <f aca="false">IFERROR(ABS(D19),"")</f>
        <v>11.1078631978954</v>
      </c>
      <c r="F19" s="7" t="n">
        <f aca="false">IFERROR(20*LOG10(E19),"")</f>
        <v>20.912610448635</v>
      </c>
      <c r="G19" s="6"/>
      <c r="H19" s="6"/>
    </row>
    <row r="20" customFormat="false" ht="15" hidden="false" customHeight="false" outlineLevel="0" collapsed="false">
      <c r="A20" s="3" t="n">
        <v>1604000</v>
      </c>
      <c r="B20" s="3" t="n">
        <v>34.032</v>
      </c>
      <c r="C20" s="6" t="n">
        <v>268.79</v>
      </c>
      <c r="D20" s="7" t="n">
        <f aca="false">IFERROR(C20/B20,"")</f>
        <v>7.89815467795017</v>
      </c>
      <c r="E20" s="7" t="n">
        <f aca="false">IFERROR(ABS(D20),"")</f>
        <v>7.89815467795017</v>
      </c>
      <c r="F20" s="7" t="n">
        <f aca="false">IFERROR(20*LOG10(E20),"")</f>
        <v>17.9505126946766</v>
      </c>
      <c r="G20" s="6"/>
      <c r="H20" s="6"/>
    </row>
    <row r="21" customFormat="false" ht="15" hidden="false" customHeight="false" outlineLevel="0" collapsed="false">
      <c r="A21" s="3" t="n">
        <v>10000000</v>
      </c>
      <c r="B21" s="3" t="n">
        <v>31.134</v>
      </c>
      <c r="C21" s="6" t="n">
        <v>48.385</v>
      </c>
      <c r="D21" s="7" t="n">
        <f aca="false">IFERROR(C21/B21,"")</f>
        <v>1.55408877754224</v>
      </c>
      <c r="E21" s="7" t="n">
        <f aca="false">IFERROR(ABS(D21),"")</f>
        <v>1.55408877754224</v>
      </c>
      <c r="F21" s="7" t="n">
        <f aca="false">IFERROR(20*LOG10(E21),"")</f>
        <v>3.82951648615045</v>
      </c>
      <c r="G21" s="6"/>
      <c r="H21" s="6"/>
    </row>
    <row r="22" customFormat="false" ht="15" hidden="false" customHeight="false" outlineLevel="0" collapsed="false">
      <c r="A22" s="3" t="n">
        <v>15000000</v>
      </c>
      <c r="B22" s="3" t="n">
        <v>24.814</v>
      </c>
      <c r="C22" s="6" t="n">
        <v>80.586</v>
      </c>
      <c r="D22" s="7" t="n">
        <f aca="false">IFERROR(C22/B22,"")</f>
        <v>3.24760216007093</v>
      </c>
      <c r="E22" s="7" t="n">
        <f aca="false">IFERROR(ABS(D22),"")</f>
        <v>3.24760216007093</v>
      </c>
      <c r="F22" s="7" t="n">
        <f aca="false">IFERROR(20*LOG10(E22),"")</f>
        <v>10.2312564318973</v>
      </c>
      <c r="G22" s="6"/>
      <c r="H22" s="6"/>
    </row>
    <row r="23" customFormat="false" ht="15" hidden="false" customHeight="false" outlineLevel="0" collapsed="false">
      <c r="A23" s="3"/>
      <c r="B23" s="3"/>
    </row>
    <row r="24" customFormat="false" ht="15" hidden="false" customHeight="false" outlineLevel="0" collapsed="false">
      <c r="A24" s="0"/>
      <c r="B24" s="0"/>
    </row>
    <row r="25" customFormat="false" ht="15" hidden="false" customHeight="false" outlineLevel="0" collapsed="false">
      <c r="A25" s="3"/>
      <c r="B25" s="3"/>
    </row>
    <row r="26" customFormat="false" ht="15" hidden="false" customHeight="false" outlineLevel="0" collapsed="false">
      <c r="A26" s="3"/>
      <c r="B26" s="3"/>
    </row>
    <row r="27" customFormat="false" ht="15" hidden="false" customHeight="false" outlineLevel="0" collapsed="false">
      <c r="A27" s="3"/>
      <c r="B27" s="3"/>
    </row>
    <row r="28" customFormat="false" ht="15" hidden="false" customHeight="false" outlineLevel="0" collapsed="false">
      <c r="A28" s="3"/>
      <c r="B28" s="3"/>
    </row>
    <row r="29" customFormat="false" ht="15" hidden="false" customHeight="false" outlineLevel="0" collapsed="false">
      <c r="A29" s="3"/>
      <c r="B29" s="3"/>
    </row>
    <row r="30" customFormat="false" ht="15" hidden="false" customHeight="false" outlineLevel="0" collapsed="false">
      <c r="A30" s="0"/>
      <c r="B30" s="0"/>
    </row>
    <row r="31" customFormat="false" ht="15" hidden="false" customHeight="false" outlineLevel="0" collapsed="false">
      <c r="A31" s="3"/>
      <c r="B31" s="3"/>
    </row>
    <row r="32" customFormat="false" ht="15" hidden="false" customHeight="false" outlineLevel="0" collapsed="false">
      <c r="A32" s="3"/>
      <c r="B32" s="3"/>
    </row>
    <row r="33" customFormat="false" ht="15" hidden="false" customHeight="false" outlineLevel="0" collapsed="false">
      <c r="A33" s="3"/>
      <c r="B33" s="3"/>
    </row>
    <row r="34" customFormat="false" ht="15" hidden="false" customHeight="false" outlineLevel="0" collapsed="false">
      <c r="A34" s="3"/>
      <c r="B34" s="3"/>
    </row>
    <row r="35" customFormat="false" ht="15" hidden="false" customHeight="false" outlineLevel="0" collapsed="false">
      <c r="A35" s="3"/>
      <c r="B35" s="3"/>
    </row>
    <row r="36" customFormat="false" ht="15" hidden="false" customHeight="false" outlineLevel="0" collapsed="false">
      <c r="A36" s="0"/>
      <c r="B36" s="0"/>
    </row>
    <row r="37" customFormat="false" ht="15" hidden="false" customHeight="false" outlineLevel="0" collapsed="false">
      <c r="A37" s="0"/>
      <c r="B37" s="0"/>
    </row>
    <row r="39" customFormat="false" ht="15" hidden="false" customHeight="false" outlineLevel="0" collapsed="false">
      <c r="A39" s="0"/>
      <c r="B39" s="0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23.85" hidden="false" customHeight="false" outlineLevel="0" collapsed="false">
      <c r="A42" s="4" t="s">
        <v>43</v>
      </c>
      <c r="B42" s="4"/>
      <c r="C42" s="4"/>
      <c r="D42" s="4"/>
      <c r="E42" s="4"/>
      <c r="F42" s="4"/>
      <c r="G42" s="4"/>
      <c r="H42" s="4"/>
    </row>
    <row r="43" customFormat="false" ht="15" hidden="false" customHeight="false" outlineLevel="0" collapsed="false">
      <c r="A43" s="5" t="s">
        <v>28</v>
      </c>
      <c r="B43" s="5" t="s">
        <v>29</v>
      </c>
      <c r="C43" s="5" t="s">
        <v>30</v>
      </c>
      <c r="D43" s="5" t="s">
        <v>31</v>
      </c>
      <c r="E43" s="5" t="s">
        <v>32</v>
      </c>
      <c r="F43" s="5" t="s">
        <v>44</v>
      </c>
      <c r="G43" s="5" t="s">
        <v>45</v>
      </c>
      <c r="H43" s="5"/>
    </row>
    <row r="44" customFormat="false" ht="35.05" hidden="false" customHeight="false" outlineLevel="0" collapsed="false">
      <c r="A44" s="6" t="n">
        <v>34.458</v>
      </c>
      <c r="B44" s="6" t="n">
        <v>1726</v>
      </c>
      <c r="C44" s="7" t="n">
        <f aca="false">IFERROR(B44/A44,"")</f>
        <v>50.0899645945789</v>
      </c>
      <c r="D44" s="7" t="n">
        <f aca="false">IFERROR(ABS(C44),"")</f>
        <v>50.0899645945789</v>
      </c>
      <c r="E44" s="7" t="n">
        <f aca="false">IFERROR(20*LOG10(D44),"")</f>
        <v>33.9950144942876</v>
      </c>
      <c r="F44" s="3" t="n">
        <v>1000</v>
      </c>
      <c r="G44" s="6" t="s">
        <v>46</v>
      </c>
      <c r="H44" s="6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6"/>
      <c r="H45" s="6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6"/>
      <c r="H46" s="6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46.25" hidden="false" customHeight="false" outlineLevel="0" collapsed="false">
      <c r="A49" s="4" t="s">
        <v>47</v>
      </c>
      <c r="B49" s="4"/>
      <c r="C49" s="4"/>
      <c r="D49" s="4"/>
      <c r="E49" s="4"/>
      <c r="F49" s="4"/>
      <c r="G49" s="4"/>
      <c r="H49" s="4"/>
      <c r="J49" s="4" t="s">
        <v>48</v>
      </c>
      <c r="K49" s="4"/>
      <c r="L49" s="4"/>
      <c r="M49" s="4"/>
      <c r="N49" s="4"/>
    </row>
    <row r="50" customFormat="false" ht="23.85" hidden="false" customHeight="false" outlineLevel="0" collapsed="false">
      <c r="A50" s="5" t="s">
        <v>49</v>
      </c>
      <c r="B50" s="5" t="s">
        <v>50</v>
      </c>
      <c r="C50" s="5" t="s">
        <v>30</v>
      </c>
      <c r="D50" s="5" t="s">
        <v>31</v>
      </c>
      <c r="E50" s="5" t="s">
        <v>32</v>
      </c>
      <c r="F50" s="5" t="s">
        <v>51</v>
      </c>
      <c r="G50" s="5" t="s">
        <v>33</v>
      </c>
      <c r="H50" s="5"/>
      <c r="J50" s="3" t="s">
        <v>52</v>
      </c>
      <c r="K50" s="6" t="n">
        <v>1686.7</v>
      </c>
      <c r="L50" s="3" t="s">
        <v>20</v>
      </c>
      <c r="M50" s="3" t="s">
        <v>53</v>
      </c>
      <c r="N50" s="3"/>
    </row>
    <row r="51" customFormat="false" ht="15" hidden="false" customHeight="false" outlineLevel="0" collapsed="false">
      <c r="A51" s="3" t="n">
        <v>34.804</v>
      </c>
      <c r="B51" s="6" t="n">
        <v>386.12</v>
      </c>
      <c r="C51" s="7" t="n">
        <f aca="false">IFERROR(B51/A51,"")</f>
        <v>11.0941271118262</v>
      </c>
      <c r="D51" s="7" t="n">
        <f aca="false">IFERROR(ABS(C51),"")</f>
        <v>11.0941271118262</v>
      </c>
      <c r="E51" s="7" t="n">
        <f aca="false">IFERROR(20*LOG10(D51),"")</f>
        <v>20.9018627506841</v>
      </c>
      <c r="F51" s="6"/>
      <c r="G51" s="6"/>
      <c r="H51" s="6"/>
      <c r="J51" s="3" t="s">
        <v>54</v>
      </c>
      <c r="K51" s="6" t="n">
        <v>17.458</v>
      </c>
      <c r="L51" s="3" t="s">
        <v>20</v>
      </c>
      <c r="M51" s="3" t="s">
        <v>55</v>
      </c>
      <c r="N51" s="3"/>
    </row>
    <row r="52" customFormat="false" ht="46.25" hidden="false" customHeight="false" outlineLevel="0" collapsed="false">
      <c r="A52" s="3" t="n">
        <v>69.789</v>
      </c>
      <c r="B52" s="6" t="n">
        <v>768.93</v>
      </c>
      <c r="C52" s="7" t="n">
        <f aca="false">IFERROR(B52/A52,"")</f>
        <v>11.0179254610325</v>
      </c>
      <c r="D52" s="7" t="n">
        <f aca="false">IFERROR(ABS(C52),"")</f>
        <v>11.0179254610325</v>
      </c>
      <c r="E52" s="7" t="n">
        <f aca="false">IFERROR(20*LOG10(D52),"")</f>
        <v>20.8419965987715</v>
      </c>
      <c r="F52" s="6"/>
      <c r="G52" s="6"/>
      <c r="H52" s="6"/>
      <c r="J52" s="3" t="s">
        <v>9</v>
      </c>
      <c r="K52" s="3" t="s">
        <v>56</v>
      </c>
      <c r="L52" s="3"/>
      <c r="M52" s="3"/>
      <c r="N52" s="3"/>
    </row>
    <row r="53" customFormat="false" ht="15" hidden="false" customHeight="false" outlineLevel="0" collapsed="false">
      <c r="A53" s="3" t="n">
        <v>104.76</v>
      </c>
      <c r="B53" s="6" t="n">
        <v>1140.5</v>
      </c>
      <c r="C53" s="7" t="n">
        <f aca="false">IFERROR(B53/A53,"")</f>
        <v>10.8867888507064</v>
      </c>
      <c r="D53" s="7" t="n">
        <f aca="false">IFERROR(ABS(C53),"")</f>
        <v>10.8867888507064</v>
      </c>
      <c r="E53" s="7" t="n">
        <f aca="false">IFERROR(20*LOG10(D53),"")</f>
        <v>20.7379959971895</v>
      </c>
      <c r="F53" s="6"/>
      <c r="G53" s="6"/>
      <c r="H53" s="6"/>
      <c r="J53" s="3"/>
      <c r="K53" s="3"/>
      <c r="L53" s="3"/>
      <c r="M53" s="3"/>
      <c r="N53" s="3"/>
    </row>
    <row r="54" customFormat="false" ht="15" hidden="false" customHeight="false" outlineLevel="0" collapsed="false">
      <c r="A54" s="3" t="n">
        <v>139.7</v>
      </c>
      <c r="B54" s="6" t="n">
        <v>1487.5</v>
      </c>
      <c r="C54" s="7" t="n">
        <f aca="false">IFERROR(B54/A54,"")</f>
        <v>10.647816750179</v>
      </c>
      <c r="D54" s="7" t="n">
        <f aca="false">IFERROR(ABS(C54),"")</f>
        <v>10.647816750179</v>
      </c>
      <c r="E54" s="7" t="n">
        <f aca="false">IFERROR(20*LOG10(D54),"")</f>
        <v>20.5452113657281</v>
      </c>
      <c r="F54" s="6"/>
      <c r="G54" s="6"/>
      <c r="H54" s="6"/>
    </row>
    <row r="55" customFormat="false" ht="15" hidden="false" customHeight="false" outlineLevel="0" collapsed="false">
      <c r="A55" s="3" t="n">
        <v>174.58</v>
      </c>
      <c r="B55" s="6" t="n">
        <v>1686.7</v>
      </c>
      <c r="C55" s="7" t="n">
        <f aca="false">IFERROR(B55/A55,"")</f>
        <v>9.66147325008592</v>
      </c>
      <c r="D55" s="7" t="n">
        <f aca="false">IFERROR(ABS(C55),"")</f>
        <v>9.66147325008592</v>
      </c>
      <c r="E55" s="7" t="n">
        <f aca="false">IFERROR(20*LOG10(D55),"")</f>
        <v>19.7008671154689</v>
      </c>
      <c r="F55" s="6" t="s">
        <v>57</v>
      </c>
      <c r="G55" s="6"/>
      <c r="H55" s="6"/>
    </row>
    <row r="56" customFormat="false" ht="15" hidden="false" customHeight="false" outlineLevel="0" collapsed="false">
      <c r="A56" s="3" t="n">
        <v>209.58</v>
      </c>
      <c r="B56" s="6" t="n">
        <v>1755</v>
      </c>
      <c r="C56" s="7" t="n">
        <f aca="false">IFERROR(B56/A56,"")</f>
        <v>8.3738906384197</v>
      </c>
      <c r="D56" s="7" t="n">
        <f aca="false">IFERROR(ABS(C56),"")</f>
        <v>8.3738906384197</v>
      </c>
      <c r="E56" s="7" t="n">
        <f aca="false">IFERROR(20*LOG10(D56),"")</f>
        <v>18.458545695611</v>
      </c>
      <c r="F56" s="6"/>
      <c r="G56" s="6"/>
      <c r="H56" s="6"/>
    </row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35.05" hidden="false" customHeight="false" outlineLevel="0" collapsed="false">
      <c r="A64" s="4" t="s">
        <v>58</v>
      </c>
      <c r="B64" s="4"/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A65" s="5" t="s">
        <v>59</v>
      </c>
      <c r="B65" s="5" t="s">
        <v>28</v>
      </c>
      <c r="C65" s="5" t="s">
        <v>29</v>
      </c>
      <c r="D65" s="5" t="s">
        <v>60</v>
      </c>
      <c r="E65" s="5" t="s">
        <v>31</v>
      </c>
      <c r="F65" s="5" t="s">
        <v>32</v>
      </c>
      <c r="G65" s="5" t="s">
        <v>61</v>
      </c>
      <c r="H65" s="5"/>
    </row>
    <row r="66" customFormat="false" ht="15" hidden="false" customHeight="false" outlineLevel="0" collapsed="false">
      <c r="A66" s="6" t="n">
        <v>1000</v>
      </c>
      <c r="B66" s="6" t="n">
        <v>34.829</v>
      </c>
      <c r="C66" s="6" t="n">
        <v>194.82</v>
      </c>
      <c r="D66" s="7" t="n">
        <f aca="false">IFERROR(C66/B66,"")</f>
        <v>5.59361451663843</v>
      </c>
      <c r="E66" s="7" t="n">
        <f aca="false">IFERROR(ABS(D66),"")</f>
        <v>5.59361451663843</v>
      </c>
      <c r="F66" s="7" t="n">
        <f aca="false">IFERROR(20*LOG10(E66),"")</f>
        <v>14.9538506741557</v>
      </c>
      <c r="G66" s="6"/>
      <c r="H66" s="6"/>
    </row>
    <row r="67" customFormat="false" ht="15" hidden="false" customHeight="false" outlineLevel="0" collapsed="false">
      <c r="A67" s="6" t="n">
        <v>33</v>
      </c>
      <c r="B67" s="6" t="n">
        <v>34.866</v>
      </c>
      <c r="C67" s="6" t="n">
        <v>12.512</v>
      </c>
      <c r="D67" s="7" t="n">
        <f aca="false">IFERROR(C67/B67,"")</f>
        <v>0.358859634027419</v>
      </c>
      <c r="E67" s="7" t="n">
        <f aca="false">IFERROR(ABS(D67),"")</f>
        <v>0.358859634027419</v>
      </c>
      <c r="F67" s="7" t="n">
        <f aca="false">IFERROR(20*LOG10(E67),"")</f>
        <v>-8.90150780213288</v>
      </c>
      <c r="G67" s="6" t="s">
        <v>62</v>
      </c>
      <c r="H67" s="6"/>
    </row>
    <row r="68" customFormat="false" ht="15" hidden="false" customHeight="false" outlineLevel="0" collapsed="false">
      <c r="A68" s="6" t="s">
        <v>63</v>
      </c>
      <c r="B68" s="6" t="n">
        <v>34.826</v>
      </c>
      <c r="C68" s="6" t="n">
        <v>390.2</v>
      </c>
      <c r="D68" s="7" t="n">
        <f aca="false">IFERROR(C68/B68,"")</f>
        <v>11.2042726698444</v>
      </c>
      <c r="E68" s="7" t="n">
        <f aca="false">IFERROR(ABS(D68),"")</f>
        <v>11.2042726698444</v>
      </c>
      <c r="F68" s="7" t="n">
        <f aca="false">IFERROR(20*LOG10(E68),"")</f>
        <v>20.9876733874787</v>
      </c>
      <c r="G68" s="6"/>
      <c r="H68" s="6"/>
    </row>
    <row r="69" customFormat="false" ht="15" hidden="false" customHeight="false" outlineLevel="0" collapsed="false"/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23.85" hidden="false" customHeight="false" outlineLevel="0" collapsed="false">
      <c r="A72" s="3" t="s">
        <v>64</v>
      </c>
      <c r="B72" s="3"/>
      <c r="C72" s="3"/>
      <c r="D72" s="3"/>
      <c r="E72" s="3"/>
      <c r="F72" s="3"/>
      <c r="G72" s="3"/>
      <c r="H72" s="3"/>
    </row>
    <row r="73" customFormat="false" ht="57.45" hidden="false" customHeight="false" outlineLevel="0" collapsed="false">
      <c r="A73" s="3" t="s">
        <v>65</v>
      </c>
      <c r="B73" s="3"/>
      <c r="C73" s="3"/>
      <c r="D73" s="3"/>
      <c r="E73" s="3"/>
      <c r="F73" s="3"/>
      <c r="G73" s="3"/>
      <c r="H73" s="3"/>
    </row>
    <row r="74" customFormat="false" ht="46.25" hidden="false" customHeight="false" outlineLevel="0" collapsed="false">
      <c r="A74" s="3" t="s">
        <v>9</v>
      </c>
      <c r="B74" s="3" t="s">
        <v>66</v>
      </c>
      <c r="C74" s="3"/>
      <c r="D74" s="3"/>
      <c r="E74" s="3"/>
      <c r="F74" s="3"/>
      <c r="G74" s="3"/>
      <c r="H74" s="3"/>
    </row>
    <row r="75" customFormat="false" ht="57.45" hidden="false" customHeight="false" outlineLevel="0" collapsed="false">
      <c r="A75" s="3" t="s">
        <v>67</v>
      </c>
      <c r="B75" s="3" t="s">
        <v>68</v>
      </c>
      <c r="C75" s="3"/>
      <c r="D75" s="3"/>
      <c r="E75" s="3"/>
      <c r="F75" s="3"/>
      <c r="G75" s="3"/>
      <c r="H75" s="3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2026-05-20T12:26:28Z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