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drawings/_rels/drawing1.xml.rels" ContentType="application/vnd.openxmlformats-package.relationship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3.3 Messungen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<sst xmlns="http://schemas.openxmlformats.org/spreadsheetml/2006/main" count="82" uniqueCount="67">
  <si>
    <t xml:space="preserve">Messprotokoll 3.3 – Sourcefolger mit PMOS LP0701</t>
  </si>
  <si>
    <t xml:space="preserve">Laborversuch 3 Transistorverstärker</t>
  </si>
  <si>
    <t xml:space="preserve">Datum:</t>
  </si>
  <si>
    <t xml:space="preserve">Name:</t>
  </si>
  <si>
    <t xml:space="preserve">Schaltung nach Abb. 5; C1 = 10 µF, C2 = 10 µF, RS = 330 Ω, VPLUS = 5 V</t>
  </si>
  <si>
    <t xml:space="preserve">3.3 a) Arbeitspunkt</t>
  </si>
  <si>
    <t xml:space="preserve">Größe</t>
  </si>
  <si>
    <t xml:space="preserve">Messwert</t>
  </si>
  <si>
    <t xml:space="preserve">Einheit</t>
  </si>
  <si>
    <t xml:space="preserve">Hinweis</t>
  </si>
  <si>
    <t xml:space="preserve">VS0</t>
  </si>
  <si>
    <t xml:space="preserve">V</t>
  </si>
  <si>
    <t xml:space="preserve">Poti so einstellen, dass VS0 aus Simulation erreicht wird</t>
  </si>
  <si>
    <t xml:space="preserve">VG0</t>
  </si>
  <si>
    <t xml:space="preserve">Gatespannung messen</t>
  </si>
  <si>
    <t xml:space="preserve">ID0</t>
  </si>
  <si>
    <t xml:space="preserve">mA</t>
  </si>
  <si>
    <t xml:space="preserve">= (VPLUS - VS0) / RS beim PMOS-Sourcewiderstand</t>
  </si>
  <si>
    <t xml:space="preserve">3.3 b) Frequenzgang mit RL = 1 kΩ</t>
  </si>
  <si>
    <t xml:space="preserve">Auswertung RL = 1 kΩ</t>
  </si>
  <si>
    <t xml:space="preserve">Vin,pp</t>
  </si>
  <si>
    <t xml:space="preserve">mV</t>
  </si>
  <si>
    <t xml:space="preserve">oder Vin,rms</t>
  </si>
  <si>
    <t xml:space="preserve">Ziel: z.B. Vin,pp = 100 mV</t>
  </si>
  <si>
    <t xml:space="preserve">AV bei 1 kHz</t>
  </si>
  <si>
    <t xml:space="preserve">Betrag</t>
  </si>
  <si>
    <t xml:space="preserve">AV bei 1 kHz [dB]</t>
  </si>
  <si>
    <t xml:space="preserve">dB</t>
  </si>
  <si>
    <t xml:space="preserve">Frequenz f [Hz]</t>
  </si>
  <si>
    <t xml:space="preserve">Vin [mV]</t>
  </si>
  <si>
    <t xml:space="preserve">Vout [mV]</t>
  </si>
  <si>
    <t xml:space="preserve">AV = Vout/Vin</t>
  </si>
  <si>
    <t xml:space="preserve">|AV|</t>
  </si>
  <si>
    <t xml:space="preserve">AV [dB]</t>
  </si>
  <si>
    <t xml:space="preserve">Bemerkung</t>
  </si>
  <si>
    <t xml:space="preserve">Messart</t>
  </si>
  <si>
    <t xml:space="preserve">AV_max Betrag</t>
  </si>
  <si>
    <t xml:space="preserve">Großer Messfehler bei ausgang bei maximaler Auflösung</t>
  </si>
  <si>
    <t xml:space="preserve">-3-dB-Betrag</t>
  </si>
  <si>
    <t xml:space="preserve">fgu</t>
  </si>
  <si>
    <t xml:space="preserve">Hz</t>
  </si>
  <si>
    <t xml:space="preserve">per Cursor/Messung eintragen</t>
  </si>
  <si>
    <t xml:space="preserve">fgo</t>
  </si>
  <si>
    <t xml:space="preserve">3.3 c) Niederohmige Last bei f = 1 kHz</t>
  </si>
  <si>
    <t xml:space="preserve">RL [Ω]</t>
  </si>
  <si>
    <t xml:space="preserve">AV</t>
  </si>
  <si>
    <t xml:space="preserve">Lautsprecher</t>
  </si>
  <si>
    <t xml:space="preserve">3.3 d) Ohne Lastwiderstand bei f = 1 kHz</t>
  </si>
  <si>
    <t xml:space="preserve">AV0</t>
  </si>
  <si>
    <t xml:space="preserve">|AV0|</t>
  </si>
  <si>
    <t xml:space="preserve">AV0 [dB]</t>
  </si>
  <si>
    <t xml:space="preserve">3.3 e) Ausgangswiderstand aus Messwerten bei f = 1 kHz</t>
  </si>
  <si>
    <t xml:space="preserve">Verwendete Werte</t>
  </si>
  <si>
    <t xml:space="preserve">Wert</t>
  </si>
  <si>
    <t xml:space="preserve">Formel</t>
  </si>
  <si>
    <t xml:space="preserve">AV0 ohne Last</t>
  </si>
  <si>
    <t xml:space="preserve">AV mit Last</t>
  </si>
  <si>
    <t xml:space="preserve">Last-Zeile auswählen/anpassen</t>
  </si>
  <si>
    <t xml:space="preserve">RL</t>
  </si>
  <si>
    <t xml:space="preserve">Ω</t>
  </si>
  <si>
    <t xml:space="preserve">rout</t>
  </si>
  <si>
    <t xml:space="preserve">rout = RL * (AV0/AV - 1)</t>
  </si>
  <si>
    <t xml:space="preserve">Quelle / Aufgabenbezug</t>
  </si>
  <si>
    <t xml:space="preserve">Elektronik Labor – 3 – Transistorverstärker, Abschnitt 3.3 Messaufgaben</t>
  </si>
  <si>
    <t xml:space="preserve">Gelbe Felder ausfüllen; grüne Felder berechnen automatisch.</t>
  </si>
  <si>
    <t xml:space="preserve">Einheiten</t>
  </si>
  <si>
    <t xml:space="preserve">Für Vin und Vout jeweils gleiche Einheit verwenden, sonst AV falsch.</t>
  </si>
</sst>
</file>

<file path=xl/styles.xml><?xml version="1.0" encoding="utf-8"?>
<styleSheet xmlns="http://schemas.openxmlformats.org/spreadsheetml/2006/main">
  <numFmts count="1">
    <numFmt numFmtId="164" formatCode="General"/>
  </numFmts>
  <fonts count="10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Calibri"/>
      <family val="0"/>
      <charset val="1"/>
    </font>
    <font>
      <b val="true"/>
      <sz val="14"/>
      <color rgb="FFFFFFFF"/>
      <name val="Calibri"/>
      <family val="0"/>
      <charset val="1"/>
    </font>
    <font>
      <b val="true"/>
      <sz val="11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1F4E79"/>
        <bgColor rgb="FF156082"/>
      </patternFill>
    </fill>
    <fill>
      <patternFill patternType="solid">
        <fgColor rgb="FFD9EAF7"/>
        <bgColor rgb="FFE2F0D9"/>
      </patternFill>
    </fill>
    <fill>
      <patternFill patternType="solid">
        <fgColor rgb="FF70AD47"/>
        <bgColor rgb="FF8B8B8B"/>
      </patternFill>
    </fill>
    <fill>
      <patternFill patternType="solid">
        <fgColor rgb="FFFFF2CC"/>
        <bgColor rgb="FFE2F0D9"/>
      </patternFill>
    </fill>
    <fill>
      <patternFill patternType="solid">
        <fgColor rgb="FFE2F0D9"/>
        <bgColor rgb="FFD9EAF7"/>
      </patternFill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2" borderId="0" xfId="2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0" borderId="0" xfId="2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6" fillId="3" borderId="0" xfId="2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7" fillId="4" borderId="0" xfId="2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5" borderId="0" xfId="2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4" fillId="6" borderId="0" xfId="20" applyFont="true" applyBorder="true" applyAlignment="true" applyProtection="true">
      <alignment horizontal="general" vertical="bottom" textRotation="0" wrapText="tru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" xfId="20"/>
  </cellStyles>
  <dxfs count="6">
    <dxf>
      <fill>
        <patternFill patternType="solid">
          <fgColor rgb="FF70AD47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fgColor rgb="FFE2F0D9"/>
          <bgColor rgb="FF000000"/>
        </patternFill>
      </fill>
    </dxf>
    <dxf>
      <fill>
        <patternFill patternType="solid">
          <fgColor rgb="FFD9EAF7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96B24"/>
      <rgbColor rgb="FF000080"/>
      <rgbColor rgb="FF808000"/>
      <rgbColor rgb="FF800080"/>
      <rgbColor rgb="FF156082"/>
      <rgbColor rgb="FFCCCCCC"/>
      <rgbColor rgb="FF8B8B8B"/>
      <rgbColor rgb="FF9999FF"/>
      <rgbColor rgb="FFA02B93"/>
      <rgbColor rgb="FFFFF2CC"/>
      <rgbColor rgb="FFD9EAF7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F9ED5"/>
      <rgbColor rgb="FF0000FF"/>
      <rgbColor rgb="FF00CCFF"/>
      <rgbColor rgb="FFCCFFFF"/>
      <rgbColor rgb="FFE2F0D9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E97132"/>
      <rgbColor rgb="FF666699"/>
      <rgbColor rgb="FF70AD47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300" strike="noStrike" u="none">
                <a:uFillTx/>
                <a:latin typeface="Arial"/>
              </a:defRPr>
            </a:pPr>
            <a:r>
              <a:rPr b="1" sz="1800" strike="noStrike" u="none">
                <a:solidFill>
                  <a:srgbClr val="000000"/>
                </a:solidFill>
                <a:uFillTx/>
                <a:latin typeface="Calibri"/>
                <a:ea typeface="Calibri"/>
              </a:rPr>
              <a:t>Frequenzgang Sourcefolger RL = 1 kΩ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"Vin [mV]"</c:f>
              <c:strCache>
                <c:ptCount val="1"/>
                <c:pt idx="0">
                  <c:v>Vin [mV]</c:v>
                </c:pt>
              </c:strCache>
            </c:strRef>
          </c:tx>
          <c:spPr>
            <a:solidFill>
              <a:srgbClr val="156082"/>
            </a:solidFill>
            <a:ln w="38160">
              <a:solidFill>
                <a:srgbClr val="156082"/>
              </a:solidFill>
              <a:round/>
            </a:ln>
          </c:spPr>
          <c:dLbls>
            <c:txPr>
              <a:bodyPr wrap="square"/>
              <a:lstStyle/>
              <a:p>
                <a:pPr>
                  <a:defRPr b="0" sz="1000" strike="noStrike" u="none">
                    <a:solidFill>
                      <a:srgbClr val="000000"/>
                    </a:solidFill>
                    <a:uFillTx/>
                    <a:latin typeface="Calibri"/>
                    <a:ea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'3.3 Messungen'!$A$15:$A$19</c:f>
              <c:strCache>
                <c:ptCount val="5"/>
                <c:pt idx="0">
                  <c:v>1</c:v>
                </c:pt>
                <c:pt idx="1">
                  <c:v>11,7</c:v>
                </c:pt>
                <c:pt idx="2">
                  <c:v>1000</c:v>
                </c:pt>
                <c:pt idx="3">
                  <c:v>1000000</c:v>
                </c:pt>
                <c:pt idx="4">
                  <c:v/>
                </c:pt>
              </c:strCache>
            </c:strRef>
          </c:cat>
          <c:val>
            <c:numRef>
              <c:f>'3.3 Messungen'!$B$15:$B$19</c:f>
              <c:numCache>
                <c:formatCode>General</c:formatCode>
                <c:ptCount val="5"/>
                <c:pt idx="0">
                  <c:v>35.333</c:v>
                </c:pt>
                <c:pt idx="1">
                  <c:v>35.413</c:v>
                </c:pt>
                <c:pt idx="2">
                  <c:v>34.876</c:v>
                </c:pt>
                <c:pt idx="3">
                  <c:v>34.444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"Vout [mV]"</c:f>
              <c:strCache>
                <c:ptCount val="1"/>
                <c:pt idx="0">
                  <c:v>Vout [mV]</c:v>
                </c:pt>
              </c:strCache>
            </c:strRef>
          </c:tx>
          <c:spPr>
            <a:solidFill>
              <a:srgbClr val="e97132"/>
            </a:solidFill>
            <a:ln w="38160">
              <a:solidFill>
                <a:srgbClr val="e97132"/>
              </a:solidFill>
              <a:round/>
            </a:ln>
          </c:spPr>
          <c:dLbls>
            <c:txPr>
              <a:bodyPr wrap="square"/>
              <a:lstStyle/>
              <a:p>
                <a:pPr>
                  <a:defRPr b="0" sz="1000" strike="noStrike" u="none">
                    <a:solidFill>
                      <a:srgbClr val="000000"/>
                    </a:solidFill>
                    <a:uFillTx/>
                    <a:latin typeface="Calibri"/>
                    <a:ea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'3.3 Messungen'!$A$15:$A$19</c:f>
              <c:strCache>
                <c:ptCount val="5"/>
                <c:pt idx="0">
                  <c:v>1</c:v>
                </c:pt>
                <c:pt idx="1">
                  <c:v>11,7</c:v>
                </c:pt>
                <c:pt idx="2">
                  <c:v>1000</c:v>
                </c:pt>
                <c:pt idx="3">
                  <c:v>1000000</c:v>
                </c:pt>
                <c:pt idx="4">
                  <c:v/>
                </c:pt>
              </c:strCache>
            </c:strRef>
          </c:cat>
          <c:val>
            <c:numRef>
              <c:f>'3.3 Messungen'!$C$15:$C$19</c:f>
              <c:numCache>
                <c:formatCode>General</c:formatCode>
                <c:ptCount val="5"/>
                <c:pt idx="0">
                  <c:v>3.2434</c:v>
                </c:pt>
                <c:pt idx="1">
                  <c:v>23.454</c:v>
                </c:pt>
                <c:pt idx="2">
                  <c:v>32.709</c:v>
                </c:pt>
                <c:pt idx="3">
                  <c:v>32.662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"AV = Vout/Vin"</c:f>
              <c:strCache>
                <c:ptCount val="1"/>
                <c:pt idx="0">
                  <c:v>AV = Vout/Vin</c:v>
                </c:pt>
              </c:strCache>
            </c:strRef>
          </c:tx>
          <c:spPr>
            <a:solidFill>
              <a:srgbClr val="196b24"/>
            </a:solidFill>
            <a:ln w="38160">
              <a:solidFill>
                <a:srgbClr val="196b24"/>
              </a:solidFill>
              <a:round/>
            </a:ln>
          </c:spPr>
          <c:dLbls>
            <c:txPr>
              <a:bodyPr wrap="square"/>
              <a:lstStyle/>
              <a:p>
                <a:pPr>
                  <a:defRPr b="0" sz="1000" strike="noStrike" u="none">
                    <a:solidFill>
                      <a:srgbClr val="000000"/>
                    </a:solidFill>
                    <a:uFillTx/>
                    <a:latin typeface="Calibri"/>
                    <a:ea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'3.3 Messungen'!$A$15:$A$19</c:f>
              <c:strCache>
                <c:ptCount val="5"/>
                <c:pt idx="0">
                  <c:v>1</c:v>
                </c:pt>
                <c:pt idx="1">
                  <c:v>11,7</c:v>
                </c:pt>
                <c:pt idx="2">
                  <c:v>1000</c:v>
                </c:pt>
                <c:pt idx="3">
                  <c:v>1000000</c:v>
                </c:pt>
                <c:pt idx="4">
                  <c:v/>
                </c:pt>
              </c:strCache>
            </c:strRef>
          </c:cat>
          <c:val>
            <c:numRef>
              <c:f>'3.3 Messungen'!$D$15:$D$19</c:f>
              <c:numCache>
                <c:formatCode>General</c:formatCode>
                <c:ptCount val="5"/>
                <c:pt idx="0">
                  <c:v>0.0917952056151473</c:v>
                </c:pt>
                <c:pt idx="1">
                  <c:v>0.662299155677294</c:v>
                </c:pt>
                <c:pt idx="2">
                  <c:v>0.937865580915243</c:v>
                </c:pt>
                <c:pt idx="3">
                  <c:v>0.948263848565788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"|AV|"</c:f>
              <c:strCache>
                <c:ptCount val="1"/>
                <c:pt idx="0">
                  <c:v>|AV|</c:v>
                </c:pt>
              </c:strCache>
            </c:strRef>
          </c:tx>
          <c:spPr>
            <a:solidFill>
              <a:srgbClr val="0f9ed5"/>
            </a:solidFill>
            <a:ln w="38160">
              <a:solidFill>
                <a:srgbClr val="0f9ed5"/>
              </a:solidFill>
              <a:round/>
            </a:ln>
          </c:spPr>
          <c:dLbls>
            <c:txPr>
              <a:bodyPr wrap="square"/>
              <a:lstStyle/>
              <a:p>
                <a:pPr>
                  <a:defRPr b="0" sz="1000" strike="noStrike" u="none">
                    <a:solidFill>
                      <a:srgbClr val="000000"/>
                    </a:solidFill>
                    <a:uFillTx/>
                    <a:latin typeface="Calibri"/>
                    <a:ea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'3.3 Messungen'!$A$15:$A$19</c:f>
              <c:strCache>
                <c:ptCount val="5"/>
                <c:pt idx="0">
                  <c:v>1</c:v>
                </c:pt>
                <c:pt idx="1">
                  <c:v>11,7</c:v>
                </c:pt>
                <c:pt idx="2">
                  <c:v>1000</c:v>
                </c:pt>
                <c:pt idx="3">
                  <c:v>1000000</c:v>
                </c:pt>
                <c:pt idx="4">
                  <c:v/>
                </c:pt>
              </c:strCache>
            </c:strRef>
          </c:cat>
          <c:val>
            <c:numRef>
              <c:f>'3.3 Messungen'!$E$15:$E$19</c:f>
              <c:numCache>
                <c:formatCode>General</c:formatCode>
                <c:ptCount val="5"/>
                <c:pt idx="0">
                  <c:v>0.0917952056151473</c:v>
                </c:pt>
                <c:pt idx="1">
                  <c:v>0.662299155677294</c:v>
                </c:pt>
                <c:pt idx="2">
                  <c:v>0.937865580915243</c:v>
                </c:pt>
                <c:pt idx="3">
                  <c:v>0.948263848565788</c:v>
                </c:pt>
              </c:numCache>
            </c:numRef>
          </c:val>
          <c:smooth val="0"/>
        </c:ser>
        <c:ser>
          <c:idx val="4"/>
          <c:order val="4"/>
          <c:tx>
            <c:strRef>
              <c:f>"AV [dB]"</c:f>
              <c:strCache>
                <c:ptCount val="1"/>
                <c:pt idx="0">
                  <c:v>AV [dB]</c:v>
                </c:pt>
              </c:strCache>
            </c:strRef>
          </c:tx>
          <c:spPr>
            <a:solidFill>
              <a:srgbClr val="a02b93"/>
            </a:solidFill>
            <a:ln w="38160">
              <a:solidFill>
                <a:srgbClr val="a02b93"/>
              </a:solidFill>
              <a:round/>
            </a:ln>
          </c:spPr>
          <c:dLbls>
            <c:txPr>
              <a:bodyPr wrap="square"/>
              <a:lstStyle/>
              <a:p>
                <a:pPr>
                  <a:defRPr b="0" sz="1000" strike="noStrike" u="none">
                    <a:solidFill>
                      <a:srgbClr val="000000"/>
                    </a:solidFill>
                    <a:uFillTx/>
                    <a:latin typeface="Calibri"/>
                    <a:ea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'3.3 Messungen'!$A$15:$A$19</c:f>
              <c:strCache>
                <c:ptCount val="5"/>
                <c:pt idx="0">
                  <c:v>1</c:v>
                </c:pt>
                <c:pt idx="1">
                  <c:v>11,7</c:v>
                </c:pt>
                <c:pt idx="2">
                  <c:v>1000</c:v>
                </c:pt>
                <c:pt idx="3">
                  <c:v>1000000</c:v>
                </c:pt>
                <c:pt idx="4">
                  <c:v/>
                </c:pt>
              </c:strCache>
            </c:strRef>
          </c:cat>
          <c:val>
            <c:numRef>
              <c:f>'3.3 Messungen'!$F$15:$F$19</c:f>
              <c:numCache>
                <c:formatCode>General</c:formatCode>
                <c:ptCount val="5"/>
                <c:pt idx="0">
                  <c:v>-20.7436000206941</c:v>
                </c:pt>
                <c:pt idx="1">
                  <c:v>-3.57891597213867</c:v>
                </c:pt>
                <c:pt idx="2">
                  <c:v>-0.557188043720041</c:v>
                </c:pt>
                <c:pt idx="3">
                  <c:v>-0.461416121740737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42602263"/>
        <c:axId val="82846246"/>
      </c:lineChart>
      <c:catAx>
        <c:axId val="42602263"/>
        <c:scaling>
          <c:orientation val="minMax"/>
        </c:scaling>
        <c:delete val="0"/>
        <c:axPos val="b"/>
        <c:majorGridlines>
          <c:spPr>
            <a:ln w="9360">
              <a:solidFill>
                <a:srgbClr val="cccccc"/>
              </a:solidFill>
              <a:prstDash val="dash"/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1260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trike="noStrike" u="none">
                <a:solidFill>
                  <a:srgbClr val="000000"/>
                </a:solidFill>
                <a:uFillTx/>
                <a:latin typeface="Calibri"/>
                <a:ea typeface="Calibri"/>
              </a:defRPr>
            </a:pPr>
          </a:p>
        </c:txPr>
        <c:crossAx val="82846246"/>
        <c:crosses val="autoZero"/>
        <c:auto val="1"/>
        <c:lblAlgn val="ctr"/>
        <c:lblOffset val="100"/>
        <c:noMultiLvlLbl val="0"/>
      </c:catAx>
      <c:valAx>
        <c:axId val="82846246"/>
        <c:scaling>
          <c:orientation val="minMax"/>
        </c:scaling>
        <c:delete val="0"/>
        <c:axPos val="l"/>
        <c:majorGridlines>
          <c:spPr>
            <a:ln w="9360">
              <a:solidFill>
                <a:srgbClr val="cccccc"/>
              </a:solidFill>
              <a:prstDash val="dash"/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1260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trike="noStrike" u="none">
                <a:solidFill>
                  <a:srgbClr val="000000"/>
                </a:solidFill>
                <a:uFillTx/>
                <a:latin typeface="Calibri"/>
                <a:ea typeface="Calibri"/>
              </a:defRPr>
            </a:pPr>
          </a:p>
        </c:txPr>
        <c:crossAx val="42602263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trike="noStrike" u="none">
              <a:solidFill>
                <a:srgbClr val="000000"/>
              </a:solidFill>
              <a:uFillTx/>
              <a:latin typeface="Calibri"/>
              <a:ea typeface="Calibri"/>
            </a:defRPr>
          </a:pPr>
        </a:p>
      </c:txPr>
    </c:legend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9</xdr:col>
      <xdr:colOff>0</xdr:colOff>
      <xdr:row>10</xdr:row>
      <xdr:rowOff>14400</xdr:rowOff>
    </xdr:from>
    <xdr:to>
      <xdr:col>13</xdr:col>
      <xdr:colOff>1126440</xdr:colOff>
      <xdr:row>27</xdr:row>
      <xdr:rowOff>142200</xdr:rowOff>
    </xdr:to>
    <xdr:graphicFrame>
      <xdr:nvGraphicFramePr>
        <xdr:cNvPr id="0" name="Chart"/>
        <xdr:cNvGraphicFramePr/>
      </xdr:nvGraphicFramePr>
      <xdr:xfrm>
        <a:off x="10611000" y="3619440"/>
        <a:ext cx="6483240" cy="373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FrequenzgangRL1k" displayName="FrequenzgangRL1k" ref="A14:H40" headerRowCount="1" totalsRowCount="0" totalsRowShown="0">
  <tableColumns count="8">
    <tableColumn id="1" name="Frequenz f [Hz]"/>
    <tableColumn id="2" name="Vin [mV]"/>
    <tableColumn id="3" name="Vout [mV]"/>
    <tableColumn id="4" name="AV = Vout/Vin"/>
    <tableColumn id="5" name="|AV|"/>
    <tableColumn id="6" name="AV [dB]"/>
    <tableColumn id="7" name="Bemerkung"/>
    <tableColumn id="8" name="Messart"/>
  </tableColumns>
</table>
</file>

<file path=xl/tables/table2.xml><?xml version="1.0" encoding="utf-8"?>
<table xmlns="http://schemas.openxmlformats.org/spreadsheetml/2006/main" id="2" name="Lastmessungen" displayName="Lastmessungen" ref="A44:H48" headerRowCount="1" totalsRowCount="0" totalsRowShown="0">
  <tableColumns count="8">
    <tableColumn id="1" name="RL [Ω]"/>
    <tableColumn id="2" name="Vin [mV]"/>
    <tableColumn id="3" name="Vout [mV]"/>
    <tableColumn id="4" name="AV"/>
    <tableColumn id="5" name="|AV|"/>
    <tableColumn id="6" name="AV [dB]"/>
    <tableColumn id="7" name="Bemerkung"/>
    <tableColumn id="8" name=""/>
  </tableColumns>
</table>
</file>

<file path=xl/theme/theme1.xml><?xml version="1.0" encoding="utf-8"?>
<a:theme xmlns:a="http://schemas.openxmlformats.org/drawingml/2006/main" xmlns:r="http://schemas.openxmlformats.org/officeDocument/2006/relationships" name="ChatGPT">
  <a:themeElements>
    <a:clrScheme name="ChatGPT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prstDash val="solid"/>
        </a:ln>
        <a:ln w="19050">
          <a:prstDash val="solid"/>
        </a:ln>
        <a:ln w="254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table" Target="../tables/table1.xml"/><Relationship Id="rId3" Type="http://schemas.openxmlformats.org/officeDocument/2006/relationships/table" Target="../tables/table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67"/>
  <sheetViews>
    <sheetView showFormulas="false" showGridLines="true" showRowColHeaders="true" showZeros="true" rightToLeft="false" tabSelected="true" showOutlineSymbols="true" defaultGridColor="true" view="normal" topLeftCell="A5" colorId="64" zoomScale="100" zoomScaleNormal="100" zoomScalePageLayoutView="100" workbookViewId="0">
      <selection pane="topLeft" activeCell="K49" activeCellId="0" sqref="K49"/>
    </sheetView>
  </sheetViews>
  <sheetFormatPr defaultColWidth="8.54296875" defaultRowHeight="15" customHeight="true" zeroHeight="false" outlineLevelRow="0" outlineLevelCol="0"/>
  <cols>
    <col collapsed="false" customWidth="true" hidden="false" outlineLevel="0" max="6" min="1" style="1" width="16"/>
    <col collapsed="false" customWidth="true" hidden="false" outlineLevel="0" max="7" min="7" style="1" width="30"/>
    <col collapsed="false" customWidth="true" hidden="false" outlineLevel="0" max="8" min="8" style="1" width="16"/>
    <col collapsed="false" customWidth="true" hidden="false" outlineLevel="0" max="12" min="10" style="1" width="16"/>
    <col collapsed="false" customWidth="true" hidden="false" outlineLevel="0" max="13" min="13" style="1" width="28"/>
    <col collapsed="false" customWidth="true" hidden="false" outlineLevel="0" max="14" min="14" style="1" width="16"/>
  </cols>
  <sheetData>
    <row r="1" customFormat="false" ht="17.35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</row>
    <row r="2" customFormat="false" ht="35.05" hidden="false" customHeight="false" outlineLevel="0" collapsed="false">
      <c r="A2" s="3" t="s">
        <v>1</v>
      </c>
      <c r="B2" s="3"/>
      <c r="C2" s="3"/>
      <c r="D2" s="3"/>
      <c r="E2" s="3" t="s">
        <v>2</v>
      </c>
      <c r="F2" s="3"/>
      <c r="G2" s="3" t="s">
        <v>3</v>
      </c>
      <c r="H2" s="3"/>
    </row>
    <row r="3" customFormat="false" ht="57.45" hidden="false" customHeight="false" outlineLevel="0" collapsed="false">
      <c r="A3" s="3" t="s">
        <v>4</v>
      </c>
      <c r="B3" s="3"/>
      <c r="C3" s="3"/>
      <c r="D3" s="3"/>
      <c r="E3" s="3"/>
      <c r="F3" s="3"/>
      <c r="G3" s="3"/>
      <c r="H3" s="3"/>
    </row>
    <row r="4" customFormat="false" ht="15" hidden="false" customHeight="false" outlineLevel="0" collapsed="false">
      <c r="A4" s="3"/>
      <c r="B4" s="3"/>
      <c r="C4" s="3"/>
      <c r="D4" s="3"/>
      <c r="E4" s="3"/>
      <c r="F4" s="3"/>
      <c r="G4" s="3"/>
      <c r="H4" s="3"/>
    </row>
    <row r="5" customFormat="false" ht="23.85" hidden="false" customHeight="false" outlineLevel="0" collapsed="false">
      <c r="A5" s="4" t="s">
        <v>5</v>
      </c>
      <c r="B5" s="4"/>
      <c r="C5" s="4"/>
      <c r="D5" s="4"/>
      <c r="E5" s="4"/>
      <c r="F5" s="4"/>
      <c r="G5" s="4"/>
      <c r="H5" s="4"/>
    </row>
    <row r="6" customFormat="false" ht="15" hidden="false" customHeight="false" outlineLevel="0" collapsed="false">
      <c r="A6" s="5" t="s">
        <v>6</v>
      </c>
      <c r="B6" s="5" t="s">
        <v>7</v>
      </c>
      <c r="C6" s="5" t="s">
        <v>8</v>
      </c>
      <c r="D6" s="5" t="s">
        <v>9</v>
      </c>
      <c r="E6" s="3"/>
      <c r="F6" s="3"/>
      <c r="G6" s="3"/>
      <c r="H6" s="3"/>
    </row>
    <row r="7" customFormat="false" ht="46.25" hidden="false" customHeight="false" outlineLevel="0" collapsed="false">
      <c r="A7" s="3" t="s">
        <v>10</v>
      </c>
      <c r="B7" s="6" t="n">
        <v>3.3493</v>
      </c>
      <c r="C7" s="3" t="s">
        <v>11</v>
      </c>
      <c r="D7" s="3" t="s">
        <v>12</v>
      </c>
      <c r="E7" s="3"/>
      <c r="F7" s="3"/>
      <c r="G7" s="3"/>
      <c r="H7" s="3"/>
    </row>
    <row r="8" customFormat="false" ht="23.85" hidden="false" customHeight="false" outlineLevel="0" collapsed="false">
      <c r="A8" s="3" t="s">
        <v>13</v>
      </c>
      <c r="B8" s="6" t="n">
        <v>2.5633</v>
      </c>
      <c r="C8" s="3" t="s">
        <v>11</v>
      </c>
      <c r="D8" s="3" t="s">
        <v>14</v>
      </c>
      <c r="E8" s="3"/>
      <c r="F8" s="3"/>
      <c r="G8" s="3"/>
      <c r="H8" s="3"/>
    </row>
    <row r="9" customFormat="false" ht="35.05" hidden="false" customHeight="false" outlineLevel="0" collapsed="false">
      <c r="A9" s="3" t="s">
        <v>15</v>
      </c>
      <c r="B9" s="7" t="n">
        <f aca="false">IF(B7&lt;&gt;"",(5-B7)/330*1000,"")</f>
        <v>5.00212121212121</v>
      </c>
      <c r="C9" s="3" t="s">
        <v>16</v>
      </c>
      <c r="D9" s="3" t="s">
        <v>17</v>
      </c>
      <c r="E9" s="3"/>
      <c r="F9" s="3"/>
      <c r="G9" s="3"/>
      <c r="H9" s="3"/>
    </row>
    <row r="10" customFormat="false" ht="15" hidden="false" customHeight="false" outlineLevel="0" collapsed="false">
      <c r="A10" s="3"/>
      <c r="B10" s="3"/>
      <c r="C10" s="3"/>
      <c r="D10" s="3"/>
      <c r="E10" s="3"/>
      <c r="F10" s="3"/>
      <c r="G10" s="3"/>
      <c r="H10" s="3"/>
    </row>
    <row r="11" customFormat="false" ht="35.05" hidden="false" customHeight="false" outlineLevel="0" collapsed="false">
      <c r="A11" s="4" t="s">
        <v>18</v>
      </c>
      <c r="B11" s="4"/>
      <c r="C11" s="4"/>
      <c r="D11" s="4"/>
      <c r="E11" s="4"/>
      <c r="F11" s="4"/>
      <c r="G11" s="4"/>
      <c r="H11" s="4"/>
      <c r="J11" s="4" t="s">
        <v>19</v>
      </c>
      <c r="K11" s="4"/>
      <c r="L11" s="4"/>
      <c r="M11" s="4"/>
      <c r="N11" s="4"/>
    </row>
    <row r="12" customFormat="false" ht="15" hidden="false" customHeight="false" outlineLevel="0" collapsed="false">
      <c r="A12" s="3" t="s">
        <v>20</v>
      </c>
      <c r="B12" s="6"/>
      <c r="C12" s="6" t="s">
        <v>21</v>
      </c>
      <c r="D12" s="6" t="s">
        <v>22</v>
      </c>
      <c r="E12" s="6" t="n">
        <v>34.876</v>
      </c>
      <c r="F12" s="6" t="s">
        <v>21</v>
      </c>
      <c r="G12" s="3" t="s">
        <v>23</v>
      </c>
      <c r="H12" s="3"/>
      <c r="J12" s="3" t="s">
        <v>24</v>
      </c>
      <c r="K12" s="7" t="n">
        <f aca="false">IFERROR(INDEX(D15:D40,MATCH(1000,A15:A40,0)),"")</f>
        <v>0.937865580915243</v>
      </c>
      <c r="L12" s="3"/>
      <c r="M12" s="3" t="s">
        <v>25</v>
      </c>
      <c r="N12" s="3" t="n">
        <f aca="false">IFERROR(ABS(K12),"")</f>
        <v>0.937865580915243</v>
      </c>
    </row>
    <row r="13" customFormat="false" ht="15" hidden="false" customHeight="false" outlineLevel="0" collapsed="false">
      <c r="A13" s="3"/>
      <c r="B13" s="3"/>
      <c r="C13" s="3"/>
      <c r="D13" s="3"/>
      <c r="E13" s="3"/>
      <c r="F13" s="3"/>
      <c r="G13" s="3"/>
      <c r="H13" s="3"/>
      <c r="J13" s="3" t="s">
        <v>26</v>
      </c>
      <c r="K13" s="7" t="n">
        <f aca="false">IFERROR(20*LOG10(ABS(K12)),"")</f>
        <v>-0.557188043720041</v>
      </c>
      <c r="L13" s="3" t="s">
        <v>27</v>
      </c>
      <c r="M13" s="3"/>
      <c r="N13" s="3"/>
    </row>
    <row r="14" customFormat="false" ht="15" hidden="false" customHeight="false" outlineLevel="0" collapsed="false">
      <c r="A14" s="5" t="s">
        <v>28</v>
      </c>
      <c r="B14" s="5" t="s">
        <v>29</v>
      </c>
      <c r="C14" s="5" t="s">
        <v>30</v>
      </c>
      <c r="D14" s="5" t="s">
        <v>31</v>
      </c>
      <c r="E14" s="5" t="s">
        <v>32</v>
      </c>
      <c r="F14" s="5" t="s">
        <v>33</v>
      </c>
      <c r="G14" s="5" t="s">
        <v>34</v>
      </c>
      <c r="H14" s="5" t="s">
        <v>35</v>
      </c>
      <c r="J14" s="3" t="s">
        <v>36</v>
      </c>
      <c r="K14" s="7" t="n">
        <f aca="false">IFERROR(MAX(E15:E40),"")</f>
        <v>0.948263848565788</v>
      </c>
      <c r="L14" s="3"/>
      <c r="M14" s="3"/>
      <c r="N14" s="3"/>
    </row>
    <row r="15" customFormat="false" ht="23.85" hidden="false" customHeight="false" outlineLevel="0" collapsed="false">
      <c r="A15" s="3" t="n">
        <v>1</v>
      </c>
      <c r="B15" s="3" t="n">
        <v>35.333</v>
      </c>
      <c r="C15" s="6" t="n">
        <v>3.2434</v>
      </c>
      <c r="D15" s="7" t="n">
        <f aca="false">IFERROR(C15/B15,"")</f>
        <v>0.0917952056151473</v>
      </c>
      <c r="E15" s="7" t="n">
        <f aca="false">IFERROR(ABS(D15),"")</f>
        <v>0.0917952056151473</v>
      </c>
      <c r="F15" s="7" t="n">
        <f aca="false">IFERROR(20*LOG10(E15),"")</f>
        <v>-20.7436000206941</v>
      </c>
      <c r="G15" s="6" t="s">
        <v>37</v>
      </c>
      <c r="H15" s="6"/>
      <c r="J15" s="3" t="s">
        <v>38</v>
      </c>
      <c r="K15" s="7" t="n">
        <f aca="false">IFERROR(K14/SQRT(2),"")</f>
        <v>0.670523797674922</v>
      </c>
      <c r="L15" s="3"/>
      <c r="M15" s="3"/>
      <c r="N15" s="3"/>
    </row>
    <row r="16" customFormat="false" ht="15" hidden="false" customHeight="false" outlineLevel="0" collapsed="false">
      <c r="A16" s="3" t="n">
        <v>11.7</v>
      </c>
      <c r="B16" s="3" t="n">
        <v>35.413</v>
      </c>
      <c r="C16" s="6" t="n">
        <v>23.454</v>
      </c>
      <c r="D16" s="7" t="n">
        <f aca="false">IFERROR(C16/B16,"")</f>
        <v>0.662299155677294</v>
      </c>
      <c r="E16" s="7" t="n">
        <f aca="false">IFERROR(ABS(D16),"")</f>
        <v>0.662299155677294</v>
      </c>
      <c r="F16" s="7" t="n">
        <f aca="false">IFERROR(20*LOG10(E16),"")</f>
        <v>-3.57891597213867</v>
      </c>
      <c r="G16" s="6"/>
      <c r="H16" s="6"/>
      <c r="J16" s="3" t="s">
        <v>39</v>
      </c>
      <c r="K16" s="6"/>
      <c r="L16" s="3" t="s">
        <v>40</v>
      </c>
      <c r="M16" s="3" t="s">
        <v>41</v>
      </c>
      <c r="N16" s="3"/>
    </row>
    <row r="17" customFormat="false" ht="15" hidden="false" customHeight="false" outlineLevel="0" collapsed="false">
      <c r="A17" s="3" t="n">
        <v>1000</v>
      </c>
      <c r="B17" s="3" t="n">
        <v>34.876</v>
      </c>
      <c r="C17" s="6" t="n">
        <v>32.709</v>
      </c>
      <c r="D17" s="7" t="n">
        <f aca="false">IFERROR(C17/B17,"")</f>
        <v>0.937865580915243</v>
      </c>
      <c r="E17" s="7" t="n">
        <f aca="false">IFERROR(ABS(D17),"")</f>
        <v>0.937865580915243</v>
      </c>
      <c r="F17" s="7" t="n">
        <f aca="false">IFERROR(20*LOG10(E17),"")</f>
        <v>-0.557188043720041</v>
      </c>
      <c r="G17" s="6"/>
      <c r="H17" s="6"/>
      <c r="J17" s="3" t="s">
        <v>42</v>
      </c>
      <c r="K17" s="6"/>
      <c r="L17" s="3" t="s">
        <v>40</v>
      </c>
      <c r="M17" s="3" t="s">
        <v>41</v>
      </c>
      <c r="N17" s="3"/>
    </row>
    <row r="18" customFormat="false" ht="15" hidden="false" customHeight="false" outlineLevel="0" collapsed="false">
      <c r="A18" s="3" t="n">
        <v>1000000</v>
      </c>
      <c r="B18" s="3" t="n">
        <v>34.444</v>
      </c>
      <c r="C18" s="6" t="n">
        <v>32.662</v>
      </c>
      <c r="D18" s="7" t="n">
        <f aca="false">IFERROR(C18/B18,"")</f>
        <v>0.948263848565788</v>
      </c>
      <c r="E18" s="7" t="n">
        <f aca="false">IFERROR(ABS(D18),"")</f>
        <v>0.948263848565788</v>
      </c>
      <c r="F18" s="7" t="n">
        <f aca="false">IFERROR(20*LOG10(E18),"")</f>
        <v>-0.461416121740737</v>
      </c>
      <c r="G18" s="6"/>
      <c r="H18" s="6"/>
    </row>
    <row r="19" customFormat="false" ht="15" hidden="false" customHeight="false" outlineLevel="0" collapsed="false"/>
    <row r="20" customFormat="false" ht="15" hidden="false" customHeight="false" outlineLevel="0" collapsed="false"/>
    <row r="21" customFormat="false" ht="15" hidden="false" customHeight="false" outlineLevel="0" collapsed="false"/>
    <row r="22" customFormat="false" ht="15" hidden="false" customHeight="false" outlineLevel="0" collapsed="false"/>
    <row r="23" customFormat="false" ht="15" hidden="false" customHeight="false" outlineLevel="0" collapsed="false"/>
    <row r="24" customFormat="false" ht="15" hidden="false" customHeight="false" outlineLevel="0" collapsed="false"/>
    <row r="25" customFormat="false" ht="15" hidden="false" customHeight="false" outlineLevel="0" collapsed="false"/>
    <row r="26" customFormat="false" ht="15" hidden="false" customHeight="false" outlineLevel="0" collapsed="false"/>
    <row r="27" customFormat="false" ht="15" hidden="false" customHeight="false" outlineLevel="0" collapsed="false"/>
    <row r="28" customFormat="false" ht="15" hidden="false" customHeight="false" outlineLevel="0" collapsed="false"/>
    <row r="29" customFormat="false" ht="15" hidden="false" customHeight="false" outlineLevel="0" collapsed="false"/>
    <row r="30" customFormat="false" ht="15" hidden="false" customHeight="false" outlineLevel="0" collapsed="false"/>
    <row r="31" customFormat="false" ht="15" hidden="false" customHeight="false" outlineLevel="0" collapsed="false"/>
    <row r="32" customFormat="false" ht="15" hidden="false" customHeight="false" outlineLevel="0" collapsed="false"/>
    <row r="33" customFormat="false" ht="15" hidden="false" customHeight="false" outlineLevel="0" collapsed="false"/>
    <row r="34" customFormat="false" ht="15" hidden="false" customHeight="false" outlineLevel="0" collapsed="false"/>
    <row r="35" customFormat="false" ht="15" hidden="false" customHeight="false" outlineLevel="0" collapsed="false"/>
    <row r="36" customFormat="false" ht="15" hidden="false" customHeight="false" outlineLevel="0" collapsed="false"/>
    <row r="37" customFormat="false" ht="15" hidden="false" customHeight="false" outlineLevel="0" collapsed="false"/>
    <row r="38" customFormat="false" ht="15" hidden="false" customHeight="false" outlineLevel="0" collapsed="false"/>
    <row r="39" customFormat="false" ht="15" hidden="false" customHeight="false" outlineLevel="0" collapsed="false"/>
    <row r="40" customFormat="false" ht="15" hidden="false" customHeight="false" outlineLevel="0" collapsed="false"/>
    <row r="41" customFormat="false" ht="15" hidden="false" customHeight="false" outlineLevel="0" collapsed="false">
      <c r="A41" s="3"/>
      <c r="B41" s="3"/>
      <c r="C41" s="3"/>
      <c r="D41" s="3"/>
      <c r="E41" s="3"/>
      <c r="F41" s="3"/>
      <c r="G41" s="3"/>
      <c r="H41" s="3"/>
    </row>
    <row r="42" customFormat="false" ht="15" hidden="false" customHeight="false" outlineLevel="0" collapsed="false">
      <c r="A42" s="3"/>
      <c r="B42" s="3"/>
      <c r="C42" s="3"/>
      <c r="D42" s="3"/>
      <c r="E42" s="3"/>
      <c r="F42" s="3"/>
      <c r="G42" s="3"/>
      <c r="H42" s="3"/>
    </row>
    <row r="43" customFormat="false" ht="35.05" hidden="false" customHeight="false" outlineLevel="0" collapsed="false">
      <c r="A43" s="4" t="s">
        <v>43</v>
      </c>
      <c r="B43" s="4"/>
      <c r="C43" s="4"/>
      <c r="D43" s="4"/>
      <c r="E43" s="4"/>
      <c r="F43" s="4"/>
      <c r="G43" s="4"/>
      <c r="H43" s="4"/>
    </row>
    <row r="44" customFormat="false" ht="15" hidden="false" customHeight="false" outlineLevel="0" collapsed="false">
      <c r="A44" s="5" t="s">
        <v>44</v>
      </c>
      <c r="B44" s="5" t="s">
        <v>29</v>
      </c>
      <c r="C44" s="5" t="s">
        <v>30</v>
      </c>
      <c r="D44" s="5" t="s">
        <v>45</v>
      </c>
      <c r="E44" s="5" t="s">
        <v>32</v>
      </c>
      <c r="F44" s="5" t="s">
        <v>33</v>
      </c>
      <c r="G44" s="5" t="s">
        <v>34</v>
      </c>
      <c r="H44" s="5"/>
    </row>
    <row r="45" customFormat="false" ht="15" hidden="false" customHeight="false" outlineLevel="0" collapsed="false">
      <c r="A45" s="6" t="n">
        <v>1000</v>
      </c>
      <c r="B45" s="6" t="n">
        <v>34.915</v>
      </c>
      <c r="C45" s="6" t="n">
        <v>32.721</v>
      </c>
      <c r="D45" s="7" t="n">
        <f aca="false">IFERROR(C45/B45,"")</f>
        <v>0.937161678361736</v>
      </c>
      <c r="E45" s="7" t="n">
        <f aca="false">IFERROR(ABS(D45),"")</f>
        <v>0.937161678361736</v>
      </c>
      <c r="F45" s="7" t="n">
        <f aca="false">IFERROR(20*LOG10(E45),"")</f>
        <v>-0.563709570436717</v>
      </c>
      <c r="G45" s="6"/>
      <c r="H45" s="6"/>
    </row>
    <row r="46" customFormat="false" ht="15" hidden="false" customHeight="false" outlineLevel="0" collapsed="false">
      <c r="A46" s="6" t="n">
        <v>100</v>
      </c>
      <c r="B46" s="6" t="n">
        <v>34.942</v>
      </c>
      <c r="C46" s="6" t="n">
        <v>28.186</v>
      </c>
      <c r="D46" s="7" t="n">
        <f aca="false">IFERROR(C46/B46,"")</f>
        <v>0.806651021693091</v>
      </c>
      <c r="E46" s="7" t="n">
        <f aca="false">IFERROR(ABS(D46),"")</f>
        <v>0.806651021693091</v>
      </c>
      <c r="F46" s="7" t="n">
        <f aca="false">IFERROR(20*LOG10(E46),"")</f>
        <v>-1.86628623573295</v>
      </c>
      <c r="G46" s="6"/>
      <c r="H46" s="6"/>
    </row>
    <row r="47" customFormat="false" ht="15" hidden="false" customHeight="false" outlineLevel="0" collapsed="false">
      <c r="A47" s="6" t="s">
        <v>46</v>
      </c>
      <c r="B47" s="6" t="str">
        <f aca="false">IF($B$12&lt;&gt;"",$B$12,"")</f>
        <v/>
      </c>
      <c r="C47" s="6"/>
      <c r="D47" s="7" t="str">
        <f aca="false">IFERROR(C47/B47,"")</f>
        <v/>
      </c>
      <c r="E47" s="7" t="str">
        <f aca="false">IFERROR(ABS(D47),"")</f>
        <v/>
      </c>
      <c r="F47" s="7" t="str">
        <f aca="false">IFERROR(20*LOG10(E47),"")</f>
        <v/>
      </c>
      <c r="G47" s="6"/>
      <c r="H47" s="6"/>
    </row>
    <row r="48" customFormat="false" ht="15" hidden="false" customHeight="false" outlineLevel="0" collapsed="false">
      <c r="A48" s="0"/>
      <c r="B48" s="0"/>
      <c r="C48" s="0"/>
      <c r="D48" s="0"/>
      <c r="E48" s="0"/>
      <c r="F48" s="0"/>
      <c r="G48" s="0"/>
      <c r="H48" s="0"/>
    </row>
    <row r="49" customFormat="false" ht="15" hidden="false" customHeight="false" outlineLevel="0" collapsed="false">
      <c r="A49" s="3"/>
      <c r="B49" s="3"/>
      <c r="C49" s="3"/>
      <c r="D49" s="3"/>
      <c r="E49" s="3"/>
      <c r="F49" s="3"/>
      <c r="G49" s="3"/>
      <c r="H49" s="3"/>
    </row>
    <row r="50" customFormat="false" ht="15" hidden="false" customHeight="false" outlineLevel="0" collapsed="false">
      <c r="A50" s="3"/>
      <c r="B50" s="3"/>
      <c r="C50" s="3"/>
      <c r="D50" s="3"/>
      <c r="E50" s="3"/>
      <c r="F50" s="3"/>
      <c r="G50" s="3"/>
      <c r="H50" s="3"/>
    </row>
    <row r="51" customFormat="false" ht="35.05" hidden="false" customHeight="false" outlineLevel="0" collapsed="false">
      <c r="A51" s="4" t="s">
        <v>47</v>
      </c>
      <c r="B51" s="4"/>
      <c r="C51" s="4"/>
      <c r="D51" s="4"/>
      <c r="E51" s="4"/>
      <c r="F51" s="4"/>
      <c r="G51" s="4"/>
      <c r="H51" s="4"/>
    </row>
    <row r="52" customFormat="false" ht="15" hidden="false" customHeight="false" outlineLevel="0" collapsed="false">
      <c r="A52" s="5" t="s">
        <v>29</v>
      </c>
      <c r="B52" s="5" t="s">
        <v>30</v>
      </c>
      <c r="C52" s="5" t="s">
        <v>48</v>
      </c>
      <c r="D52" s="5" t="s">
        <v>49</v>
      </c>
      <c r="E52" s="5" t="s">
        <v>50</v>
      </c>
      <c r="F52" s="5" t="s">
        <v>34</v>
      </c>
      <c r="G52" s="5"/>
      <c r="H52" s="5"/>
    </row>
    <row r="53" customFormat="false" ht="15" hidden="false" customHeight="false" outlineLevel="0" collapsed="false">
      <c r="A53" s="6" t="n">
        <v>34.886</v>
      </c>
      <c r="B53" s="6" t="n">
        <v>33.333</v>
      </c>
      <c r="C53" s="7" t="n">
        <f aca="false">IFERROR(B53/A53,"")</f>
        <v>0.955483575073095</v>
      </c>
      <c r="D53" s="7" t="n">
        <f aca="false">IFERROR(ABS(C53),"")</f>
        <v>0.955483575073095</v>
      </c>
      <c r="E53" s="7" t="n">
        <f aca="false">IFERROR(20*LOG10(D53),"")</f>
        <v>-0.395535482832031</v>
      </c>
      <c r="F53" s="6"/>
      <c r="G53" s="6"/>
      <c r="H53" s="6"/>
    </row>
    <row r="54" customFormat="false" ht="15" hidden="false" customHeight="false" outlineLevel="0" collapsed="false">
      <c r="A54" s="3"/>
      <c r="B54" s="3"/>
      <c r="C54" s="3"/>
      <c r="D54" s="3"/>
      <c r="E54" s="3"/>
      <c r="F54" s="3"/>
      <c r="G54" s="3"/>
      <c r="H54" s="3"/>
    </row>
    <row r="55" customFormat="false" ht="15" hidden="false" customHeight="false" outlineLevel="0" collapsed="false">
      <c r="A55" s="3"/>
      <c r="B55" s="3"/>
      <c r="C55" s="3"/>
      <c r="D55" s="3"/>
      <c r="E55" s="3"/>
      <c r="F55" s="3"/>
      <c r="G55" s="3"/>
      <c r="H55" s="3"/>
    </row>
    <row r="56" customFormat="false" ht="57.45" hidden="false" customHeight="false" outlineLevel="0" collapsed="false">
      <c r="A56" s="4" t="s">
        <v>51</v>
      </c>
      <c r="B56" s="4"/>
      <c r="C56" s="4"/>
      <c r="D56" s="4"/>
      <c r="E56" s="4"/>
      <c r="F56" s="4"/>
      <c r="G56" s="4"/>
      <c r="H56" s="4"/>
    </row>
    <row r="57" customFormat="false" ht="23.85" hidden="false" customHeight="false" outlineLevel="0" collapsed="false">
      <c r="A57" s="5" t="s">
        <v>52</v>
      </c>
      <c r="B57" s="5" t="s">
        <v>53</v>
      </c>
      <c r="C57" s="5" t="s">
        <v>8</v>
      </c>
      <c r="D57" s="5" t="s">
        <v>54</v>
      </c>
      <c r="E57" s="5"/>
      <c r="F57" s="5"/>
      <c r="G57" s="5"/>
      <c r="H57" s="5"/>
    </row>
    <row r="58" customFormat="false" ht="15" hidden="false" customHeight="false" outlineLevel="0" collapsed="false">
      <c r="A58" s="3" t="s">
        <v>55</v>
      </c>
      <c r="B58" s="7" t="n">
        <f aca="false">C53</f>
        <v>0.955483575073095</v>
      </c>
      <c r="C58" s="3"/>
      <c r="D58" s="3"/>
      <c r="E58" s="3"/>
      <c r="F58" s="3"/>
      <c r="G58" s="3"/>
      <c r="H58" s="3"/>
    </row>
    <row r="59" customFormat="false" ht="35.05" hidden="false" customHeight="false" outlineLevel="0" collapsed="false">
      <c r="A59" s="3" t="s">
        <v>56</v>
      </c>
      <c r="B59" s="6" t="n">
        <f aca="false">D45</f>
        <v>0.937161678361736</v>
      </c>
      <c r="C59" s="3"/>
      <c r="D59" s="3" t="s">
        <v>57</v>
      </c>
      <c r="E59" s="3"/>
      <c r="F59" s="3"/>
      <c r="G59" s="3"/>
      <c r="H59" s="3"/>
    </row>
    <row r="60" customFormat="false" ht="15" hidden="false" customHeight="false" outlineLevel="0" collapsed="false">
      <c r="A60" s="3" t="s">
        <v>58</v>
      </c>
      <c r="B60" s="6" t="n">
        <f aca="false">A45</f>
        <v>1000</v>
      </c>
      <c r="C60" s="3" t="s">
        <v>59</v>
      </c>
      <c r="D60" s="3"/>
      <c r="E60" s="3"/>
      <c r="F60" s="3"/>
      <c r="G60" s="3"/>
      <c r="H60" s="3"/>
    </row>
    <row r="61" customFormat="false" ht="23.85" hidden="false" customHeight="false" outlineLevel="0" collapsed="false">
      <c r="A61" s="3" t="s">
        <v>60</v>
      </c>
      <c r="B61" s="7" t="n">
        <f aca="false">IFERROR(B60*(B58/B59-1),"")</f>
        <v>19.5504117746133</v>
      </c>
      <c r="C61" s="3" t="s">
        <v>59</v>
      </c>
      <c r="D61" s="3" t="s">
        <v>61</v>
      </c>
      <c r="E61" s="3"/>
      <c r="F61" s="3"/>
      <c r="G61" s="3"/>
      <c r="H61" s="3"/>
    </row>
    <row r="62" customFormat="false" ht="15" hidden="false" customHeight="false" outlineLevel="0" collapsed="false">
      <c r="A62" s="3"/>
      <c r="B62" s="3"/>
      <c r="C62" s="3"/>
      <c r="D62" s="3"/>
      <c r="E62" s="3"/>
      <c r="F62" s="3"/>
      <c r="G62" s="3"/>
      <c r="H62" s="3"/>
    </row>
    <row r="63" customFormat="false" ht="15" hidden="false" customHeight="false" outlineLevel="0" collapsed="false">
      <c r="A63" s="3"/>
      <c r="B63" s="3"/>
      <c r="C63" s="3"/>
      <c r="D63" s="3"/>
      <c r="E63" s="3"/>
      <c r="F63" s="3"/>
      <c r="G63" s="3"/>
      <c r="H63" s="3"/>
    </row>
    <row r="64" customFormat="false" ht="23.85" hidden="false" customHeight="false" outlineLevel="0" collapsed="false">
      <c r="A64" s="3" t="s">
        <v>62</v>
      </c>
      <c r="B64" s="3"/>
      <c r="C64" s="3"/>
      <c r="D64" s="3"/>
      <c r="E64" s="3"/>
      <c r="F64" s="3"/>
      <c r="G64" s="3"/>
      <c r="H64" s="3"/>
    </row>
    <row r="65" customFormat="false" ht="57.45" hidden="false" customHeight="false" outlineLevel="0" collapsed="false">
      <c r="A65" s="3" t="s">
        <v>63</v>
      </c>
      <c r="B65" s="3"/>
      <c r="C65" s="3"/>
      <c r="D65" s="3"/>
      <c r="E65" s="3"/>
      <c r="F65" s="3"/>
      <c r="G65" s="3"/>
      <c r="H65" s="3"/>
    </row>
    <row r="66" customFormat="false" ht="46.25" hidden="false" customHeight="false" outlineLevel="0" collapsed="false">
      <c r="A66" s="3" t="s">
        <v>9</v>
      </c>
      <c r="B66" s="3" t="s">
        <v>64</v>
      </c>
      <c r="C66" s="3"/>
      <c r="D66" s="3"/>
      <c r="E66" s="3"/>
      <c r="F66" s="3"/>
      <c r="G66" s="3"/>
      <c r="H66" s="3"/>
    </row>
    <row r="67" customFormat="false" ht="57.45" hidden="false" customHeight="false" outlineLevel="0" collapsed="false">
      <c r="A67" s="3" t="s">
        <v>65</v>
      </c>
      <c r="B67" s="3" t="s">
        <v>66</v>
      </c>
      <c r="C67" s="3"/>
      <c r="D67" s="3"/>
      <c r="E67" s="3"/>
      <c r="F67" s="3"/>
      <c r="G67" s="3"/>
      <c r="H67" s="3"/>
    </row>
  </sheetData>
  <mergeCells count="1">
    <mergeCell ref="A1:H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  <tableParts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68</TotalTime>
  <Application>LibreOffice/25.2.7.2$Windows_X86_64 LibreOffice_project/5cbfd1ab6520636bb5f7b99185aa69bd7456825d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de-DE</dc:language>
  <cp:lastModifiedBy/>
  <dcterms:modified xsi:type="dcterms:W3CDTF">2026-05-20T12:27:14Z</dcterms:modified>
  <cp:revision>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